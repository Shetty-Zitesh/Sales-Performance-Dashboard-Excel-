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ll\Desktop\Excel Projects\Project 2 (Lookups &amp; power Query)\"/>
    </mc:Choice>
  </mc:AlternateContent>
  <xr:revisionPtr revIDLastSave="0" documentId="13_ncr:1_{B3E1FD9C-B913-49B0-8749-704AF76F2918}" xr6:coauthVersionLast="47" xr6:coauthVersionMax="47" xr10:uidLastSave="{00000000-0000-0000-0000-000000000000}"/>
  <bookViews>
    <workbookView xWindow="-108" yWindow="-108" windowWidth="23256" windowHeight="12456" activeTab="6" xr2:uid="{F07E881D-6856-4E04-8956-ECD236CC2843}"/>
  </bookViews>
  <sheets>
    <sheet name="Raw_Sales_Data" sheetId="1" r:id="rId1"/>
    <sheet name="Customers" sheetId="2" r:id="rId2"/>
    <sheet name="Products" sheetId="3" r:id="rId3"/>
    <sheet name="Region_Targets" sheetId="4" r:id="rId4"/>
    <sheet name="Cleaned_Sales_Data" sheetId="5" r:id="rId5"/>
    <sheet name="Pivot_Data" sheetId="6" r:id="rId6"/>
    <sheet name="Dashboard" sheetId="7" r:id="rId7"/>
  </sheets>
  <definedNames>
    <definedName name="ExternalData_1" localSheetId="4" hidden="1">Cleaned_Sales_Data!$A$1:$G$6</definedName>
    <definedName name="Slicer_Category">#N/A</definedName>
    <definedName name="Slicer_Order_Date">#N/A</definedName>
    <definedName name="Slicer_Region">#N/A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5" l="1"/>
  <c r="K3" i="5"/>
  <c r="K4" i="5"/>
  <c r="K5" i="5"/>
  <c r="K6" i="5"/>
  <c r="J2" i="5"/>
  <c r="J3" i="5"/>
  <c r="J4" i="5"/>
  <c r="J5" i="5"/>
  <c r="J6" i="5"/>
  <c r="I2" i="5"/>
  <c r="I3" i="5"/>
  <c r="I4" i="5"/>
  <c r="I5" i="5"/>
  <c r="I6" i="5"/>
  <c r="H2" i="5"/>
  <c r="L2" i="5" s="1"/>
  <c r="H3" i="5"/>
  <c r="L3" i="5" s="1"/>
  <c r="H4" i="5"/>
  <c r="L4" i="5" s="1"/>
  <c r="H5" i="5"/>
  <c r="L5" i="5" s="1"/>
  <c r="H6" i="5"/>
  <c r="L6" i="5" s="1"/>
  <c r="B4" i="7"/>
  <c r="A4" i="7"/>
  <c r="C4" i="7" l="1"/>
  <c r="D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131CC2-B680-475E-87C3-E7896630622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<sst xmlns="http://schemas.openxmlformats.org/spreadsheetml/2006/main" count="121" uniqueCount="53">
  <si>
    <t>Order ID</t>
  </si>
  <si>
    <t>Order Date</t>
  </si>
  <si>
    <t>Cust ID</t>
  </si>
  <si>
    <t>Prod ID</t>
  </si>
  <si>
    <t>Region</t>
  </si>
  <si>
    <t>Qty</t>
  </si>
  <si>
    <t>Sales</t>
  </si>
  <si>
    <t>C01</t>
  </si>
  <si>
    <t>P01</t>
  </si>
  <si>
    <t>North</t>
  </si>
  <si>
    <t>C02</t>
  </si>
  <si>
    <t>P03</t>
  </si>
  <si>
    <t>South</t>
  </si>
  <si>
    <t>C03</t>
  </si>
  <si>
    <t>P02</t>
  </si>
  <si>
    <t>East</t>
  </si>
  <si>
    <t>P04</t>
  </si>
  <si>
    <t>West</t>
  </si>
  <si>
    <t>two</t>
  </si>
  <si>
    <t>C04</t>
  </si>
  <si>
    <t>Customer ID</t>
  </si>
  <si>
    <t>Customer Name</t>
  </si>
  <si>
    <t>Segment</t>
  </si>
  <si>
    <t>Rahul Sharma</t>
  </si>
  <si>
    <t>Retail</t>
  </si>
  <si>
    <t>Neha Singh</t>
  </si>
  <si>
    <t>Corporate</t>
  </si>
  <si>
    <t>Aman Verma</t>
  </si>
  <si>
    <t>Pooja Mehta</t>
  </si>
  <si>
    <t>Small Business</t>
  </si>
  <si>
    <t>Product ID</t>
  </si>
  <si>
    <t>Product Name</t>
  </si>
  <si>
    <t>Category</t>
  </si>
  <si>
    <t>Price</t>
  </si>
  <si>
    <t>Laptop</t>
  </si>
  <si>
    <t>Electronics</t>
  </si>
  <si>
    <t>Phone</t>
  </si>
  <si>
    <t>Printer</t>
  </si>
  <si>
    <t>Office</t>
  </si>
  <si>
    <t>Chair</t>
  </si>
  <si>
    <t>Furniture</t>
  </si>
  <si>
    <t>Monthly Target</t>
  </si>
  <si>
    <t>Target</t>
  </si>
  <si>
    <t>Final Sales</t>
  </si>
  <si>
    <t>Row Labels</t>
  </si>
  <si>
    <t>Grand Total</t>
  </si>
  <si>
    <t>Sum of Final Sales</t>
  </si>
  <si>
    <t>Sum of Target</t>
  </si>
  <si>
    <t>Total Sales</t>
  </si>
  <si>
    <t>Total Target</t>
  </si>
  <si>
    <t>Achievement %</t>
  </si>
  <si>
    <t>Gap</t>
  </si>
  <si>
    <t>Sales Performance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</si>
</sst>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20"/>
      <color theme="1"/>
      <name val="Calibri"/>
      <family val="2"/>
      <scheme val="minor"/>
    </font>
    <font>
      <b/>
      <sz val="26"/>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6">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9" fontId="4" fillId="2" borderId="5" xfId="1" applyFont="1" applyFill="1" applyBorder="1" applyAlignment="1">
      <alignment horizontal="center" vertical="center"/>
    </xf>
    <xf numFmtId="43" fontId="4" fillId="2" borderId="4" xfId="2" applyFont="1" applyFill="1" applyBorder="1" applyAlignment="1">
      <alignment horizontal="center" vertical="center"/>
    </xf>
    <xf numFmtId="43" fontId="4" fillId="2" borderId="5" xfId="2" applyFont="1" applyFill="1" applyBorder="1" applyAlignment="1">
      <alignment horizontal="center" vertical="center"/>
    </xf>
    <xf numFmtId="43" fontId="4" fillId="2" borderId="6" xfId="2" applyFont="1" applyFill="1" applyBorder="1" applyAlignment="1">
      <alignment horizontal="center" vertical="center"/>
    </xf>
    <xf numFmtId="0" fontId="5" fillId="0" borderId="0" xfId="0" applyFont="1" applyAlignment="1">
      <alignment horizontal="center"/>
    </xf>
    <xf numFmtId="0" fontId="5" fillId="2" borderId="7" xfId="0" applyFont="1" applyFill="1" applyBorder="1" applyAlignment="1">
      <alignment horizontal="center"/>
    </xf>
  </cellXfs>
  <cellStyles count="3">
    <cellStyle name="Comma" xfId="2" builtinId="3"/>
    <cellStyle name="Normal" xfId="0" builtinId="0"/>
    <cellStyle name="Percent" xfId="1" builtinId="5"/>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[Sales_Performance_Dashboard.xlsx]Pivot_Data!PivotTable1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Pivot_Data!$B$3</c:f>
              <c:strCache>
                <c:ptCount val="1"/>
                <c:pt idx="0">
                  <c:v>Total</c:v>
                </c:pt>
              </c:strCache>
            </c:strRef>
          </c:tx>
          <c:spPr>
            <a:solidFill>
              <a:schemeClr val="accent6">
                <a:lumMod val="60000"/>
                <a:lumOff val="40000"/>
              </a:schemeClr>
            </a:solidFill>
            <a:ln>
              <a:noFill/>
            </a:ln>
            <a:effectLst/>
          </c:spPr>
          <c:invertIfNegative val="0"/>
          <c:cat>
            <c:strRef>
              <c:f>Pivot_Data!$A$4:$A$8</c:f>
              <c:strCache>
                <c:ptCount val="4"/>
                <c:pt idx="0">
                  <c:v>East</c:v>
                </c:pt>
                <c:pt idx="1">
                  <c:v>North</c:v>
                </c:pt>
                <c:pt idx="2">
                  <c:v>South</c:v>
                </c:pt>
                <c:pt idx="3">
                  <c:v>West</c:v>
                </c:pt>
              </c:strCache>
            </c:strRef>
          </c:cat>
          <c:val>
            <c:numRef>
              <c:f>Pivot_Data!$B$4:$B$8</c:f>
              <c:numCache>
                <c:formatCode>General</c:formatCode>
                <c:ptCount val="4"/>
                <c:pt idx="0">
                  <c:v>6000</c:v>
                </c:pt>
                <c:pt idx="1">
                  <c:v>4000</c:v>
                </c:pt>
                <c:pt idx="2">
                  <c:v>5500</c:v>
                </c:pt>
                <c:pt idx="3">
                  <c:v>3000</c:v>
                </c:pt>
              </c:numCache>
            </c:numRef>
          </c:val>
          <c:extLst>
            <c:ext xmlns:c16="http://schemas.microsoft.com/office/drawing/2014/chart" uri="{C3380CC4-5D6E-409C-BE32-E72D297353CC}">
              <c16:uniqueId val="{00000000-C24B-4569-B204-7FF71F23E0BB}"/>
            </c:ext>
          </c:extLst>
        </c:ser>
        <c:dLbls>
          <c:showLegendKey val="0"/>
          <c:showVal val="0"/>
          <c:showCatName val="0"/>
          <c:showSerName val="0"/>
          <c:showPercent val="0"/>
          <c:showBubbleSize val="0"/>
        </c:dLbls>
        <c:gapWidth val="219"/>
        <c:overlap val="-27"/>
        <c:axId val="11907183"/>
        <c:axId val="11908623"/>
      </c:barChart>
      <c:catAx>
        <c:axId val="1190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8623"/>
        <c:crosses val="autoZero"/>
        <c:auto val="1"/>
        <c:lblAlgn val="ctr"/>
        <c:lblOffset val="100"/>
        <c:noMultiLvlLbl val="0"/>
      </c:catAx>
      <c:valAx>
        <c:axId val="1190862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[Sales_Performance_Dashboard.xlsx]Pivot_Data!PivotTable2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Category</a:t>
            </a:r>
            <a:endParaRPr lang="en-US" b="1"/>
          </a:p>
        </c:rich>
      </c:tx>
      <c:layout>
        <c:manualLayout>
          <c:xMode val="edge"/>
          <c:yMode val="edge"/>
          <c:x val="0.22635460560105186"/>
          <c:y val="0.171207430894061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accent6">
                <a:lumMod val="60000"/>
                <a:lumOff val="40000"/>
              </a:schemeClr>
            </a:solidFill>
          </a:ln>
          <a:effectLst/>
        </c:spPr>
      </c:pivotFmt>
      <c:pivotFmt>
        <c:idx val="2"/>
        <c:spPr>
          <a:solidFill>
            <a:schemeClr val="accent6">
              <a:lumMod val="60000"/>
              <a:lumOff val="40000"/>
            </a:schemeClr>
          </a:solidFill>
          <a:ln w="19050">
            <a:solidFill>
              <a:schemeClr val="accent6">
                <a:lumMod val="60000"/>
                <a:lumOff val="40000"/>
              </a:schemeClr>
            </a:solidFill>
          </a:ln>
          <a:effectLst/>
        </c:spPr>
      </c:pivotFmt>
      <c:pivotFmt>
        <c:idx val="3"/>
        <c:spPr>
          <a:solidFill>
            <a:schemeClr val="accent6">
              <a:lumMod val="40000"/>
              <a:lumOff val="60000"/>
            </a:schemeClr>
          </a:solidFill>
          <a:ln w="19050">
            <a:solidFill>
              <a:schemeClr val="accent6">
                <a:lumMod val="40000"/>
                <a:lumOff val="60000"/>
              </a:schemeClr>
            </a:solidFill>
          </a:ln>
          <a:effectLst/>
        </c:spPr>
      </c:pivotFmt>
      <c:pivotFmt>
        <c:idx val="4"/>
        <c:spPr>
          <a:solidFill>
            <a:schemeClr val="accent1"/>
          </a:solidFill>
          <a:ln w="19050">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accent6">
                <a:lumMod val="60000"/>
                <a:lumOff val="40000"/>
              </a:schemeClr>
            </a:solidFill>
          </a:ln>
          <a:effectLst/>
        </c:spPr>
      </c:pivotFmt>
      <c:pivotFmt>
        <c:idx val="6"/>
        <c:spPr>
          <a:solidFill>
            <a:schemeClr val="accent6">
              <a:lumMod val="40000"/>
              <a:lumOff val="60000"/>
            </a:schemeClr>
          </a:solidFill>
          <a:ln w="19050">
            <a:solidFill>
              <a:schemeClr val="accent6">
                <a:lumMod val="40000"/>
                <a:lumOff val="60000"/>
              </a:schemeClr>
            </a:solidFill>
          </a:ln>
          <a:effectLst/>
        </c:spPr>
      </c:pivotFmt>
      <c:pivotFmt>
        <c:idx val="7"/>
        <c:spPr>
          <a:solidFill>
            <a:schemeClr val="accent6">
              <a:lumMod val="60000"/>
              <a:lumOff val="40000"/>
            </a:schemeClr>
          </a:solidFill>
          <a:ln w="19050">
            <a:solidFill>
              <a:schemeClr val="accent6">
                <a:lumMod val="60000"/>
                <a:lumOff val="40000"/>
              </a:schemeClr>
            </a:solidFill>
          </a:ln>
          <a:effectLst/>
        </c:spPr>
      </c:pivotFmt>
      <c:pivotFmt>
        <c:idx val="8"/>
        <c:spPr>
          <a:solidFill>
            <a:schemeClr val="accent1"/>
          </a:solidFill>
          <a:ln w="19050">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accent6">
                <a:lumMod val="60000"/>
                <a:lumOff val="40000"/>
              </a:schemeClr>
            </a:solidFill>
          </a:ln>
          <a:effectLst/>
        </c:spPr>
      </c:pivotFmt>
      <c:pivotFmt>
        <c:idx val="10"/>
        <c:spPr>
          <a:solidFill>
            <a:schemeClr val="accent6">
              <a:lumMod val="40000"/>
              <a:lumOff val="60000"/>
            </a:schemeClr>
          </a:solidFill>
          <a:ln w="19050">
            <a:solidFill>
              <a:schemeClr val="accent6">
                <a:lumMod val="40000"/>
                <a:lumOff val="60000"/>
              </a:schemeClr>
            </a:solidFill>
          </a:ln>
          <a:effectLst/>
        </c:spPr>
      </c:pivotFmt>
      <c:pivotFmt>
        <c:idx val="11"/>
        <c:spPr>
          <a:solidFill>
            <a:schemeClr val="accent6">
              <a:lumMod val="60000"/>
              <a:lumOff val="40000"/>
            </a:schemeClr>
          </a:solidFill>
          <a:ln w="19050">
            <a:solidFill>
              <a:schemeClr val="accent6">
                <a:lumMod val="60000"/>
                <a:lumOff val="40000"/>
              </a:schemeClr>
            </a:solidFill>
          </a:ln>
          <a:effectLst/>
        </c:spPr>
      </c:pivotFmt>
    </c:pivotFmts>
    <c:plotArea>
      <c:layout/>
      <c:barChart>
        <c:barDir val="bar"/>
        <c:grouping val="clustered"/>
        <c:varyColors val="0"/>
        <c:ser>
          <c:idx val="0"/>
          <c:order val="0"/>
          <c:tx>
            <c:strRef>
              <c:f>Pivot_Data!$F$3</c:f>
              <c:strCache>
                <c:ptCount val="1"/>
                <c:pt idx="0">
                  <c:v>Total</c:v>
                </c:pt>
              </c:strCache>
            </c:strRef>
          </c:tx>
          <c:spPr>
            <a:solidFill>
              <a:schemeClr val="accent1"/>
            </a:solidFill>
            <a:ln w="19050">
              <a:solidFill>
                <a:schemeClr val="accent6">
                  <a:lumMod val="60000"/>
                  <a:lumOff val="40000"/>
                </a:schemeClr>
              </a:solidFill>
            </a:ln>
            <a:effectLst/>
          </c:spPr>
          <c:invertIfNegative val="0"/>
          <c:dPt>
            <c:idx val="0"/>
            <c:invertIfNegative val="0"/>
            <c:bubble3D val="0"/>
            <c:spPr>
              <a:solidFill>
                <a:schemeClr val="accent6">
                  <a:lumMod val="75000"/>
                </a:schemeClr>
              </a:solidFill>
              <a:ln w="19050">
                <a:solidFill>
                  <a:schemeClr val="accent6">
                    <a:lumMod val="60000"/>
                    <a:lumOff val="40000"/>
                  </a:schemeClr>
                </a:solidFill>
              </a:ln>
              <a:effectLst/>
            </c:spPr>
            <c:extLst>
              <c:ext xmlns:c16="http://schemas.microsoft.com/office/drawing/2014/chart" uri="{C3380CC4-5D6E-409C-BE32-E72D297353CC}">
                <c16:uniqueId val="{00000001-F19B-400C-9BBE-479D00FF0B9C}"/>
              </c:ext>
            </c:extLst>
          </c:dPt>
          <c:dPt>
            <c:idx val="1"/>
            <c:invertIfNegative val="0"/>
            <c:bubble3D val="0"/>
            <c:spPr>
              <a:solidFill>
                <a:schemeClr val="accent6">
                  <a:lumMod val="40000"/>
                  <a:lumOff val="60000"/>
                </a:schemeClr>
              </a:solidFill>
              <a:ln w="19050">
                <a:solidFill>
                  <a:schemeClr val="accent6">
                    <a:lumMod val="40000"/>
                    <a:lumOff val="60000"/>
                  </a:schemeClr>
                </a:solidFill>
              </a:ln>
              <a:effectLst/>
            </c:spPr>
            <c:extLst>
              <c:ext xmlns:c16="http://schemas.microsoft.com/office/drawing/2014/chart" uri="{C3380CC4-5D6E-409C-BE32-E72D297353CC}">
                <c16:uniqueId val="{00000003-F19B-400C-9BBE-479D00FF0B9C}"/>
              </c:ext>
            </c:extLst>
          </c:dPt>
          <c:dPt>
            <c:idx val="2"/>
            <c:invertIfNegative val="0"/>
            <c:bubble3D val="0"/>
            <c:spPr>
              <a:solidFill>
                <a:schemeClr val="accent6">
                  <a:lumMod val="60000"/>
                  <a:lumOff val="40000"/>
                </a:schemeClr>
              </a:solidFill>
              <a:ln w="19050">
                <a:solidFill>
                  <a:schemeClr val="accent6">
                    <a:lumMod val="60000"/>
                    <a:lumOff val="40000"/>
                  </a:schemeClr>
                </a:solidFill>
              </a:ln>
              <a:effectLst/>
            </c:spPr>
            <c:extLst>
              <c:ext xmlns:c16="http://schemas.microsoft.com/office/drawing/2014/chart" uri="{C3380CC4-5D6E-409C-BE32-E72D297353CC}">
                <c16:uniqueId val="{00000005-F19B-400C-9BBE-479D00FF0B9C}"/>
              </c:ext>
            </c:extLst>
          </c:dPt>
          <c:cat>
            <c:strRef>
              <c:f>Pivot_Data!$E$4:$E$7</c:f>
              <c:strCache>
                <c:ptCount val="3"/>
                <c:pt idx="0">
                  <c:v>Electronics</c:v>
                </c:pt>
                <c:pt idx="1">
                  <c:v>Furniture</c:v>
                </c:pt>
                <c:pt idx="2">
                  <c:v>Office</c:v>
                </c:pt>
              </c:strCache>
            </c:strRef>
          </c:cat>
          <c:val>
            <c:numRef>
              <c:f>Pivot_Data!$F$4:$F$7</c:f>
              <c:numCache>
                <c:formatCode>General</c:formatCode>
                <c:ptCount val="3"/>
                <c:pt idx="0">
                  <c:v>14000</c:v>
                </c:pt>
                <c:pt idx="1">
                  <c:v>3000</c:v>
                </c:pt>
                <c:pt idx="2">
                  <c:v>1500</c:v>
                </c:pt>
              </c:numCache>
            </c:numRef>
          </c:val>
          <c:extLst>
            <c:ext xmlns:c16="http://schemas.microsoft.com/office/drawing/2014/chart" uri="{C3380CC4-5D6E-409C-BE32-E72D297353CC}">
              <c16:uniqueId val="{00000006-F19B-400C-9BBE-479D00FF0B9C}"/>
            </c:ext>
          </c:extLst>
        </c:ser>
        <c:dLbls>
          <c:showLegendKey val="0"/>
          <c:showVal val="0"/>
          <c:showCatName val="0"/>
          <c:showSerName val="0"/>
          <c:showPercent val="0"/>
          <c:showBubbleSize val="0"/>
        </c:dLbls>
        <c:gapWidth val="100"/>
        <c:axId val="684260703"/>
        <c:axId val="684255903"/>
      </c:barChart>
      <c:valAx>
        <c:axId val="684255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260703"/>
        <c:crosses val="autoZero"/>
        <c:crossBetween val="between"/>
      </c:valAx>
      <c:catAx>
        <c:axId val="6842607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2559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[Sales_Performance_Dashboard.xlsx]Pivot_Data!PivotTable3</c:name>
    <c:fmtId val="2"/>
  </c:pivotSource>
  <c:chart>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66513331422176"/>
          <c:y val="0.13917530831120928"/>
          <c:w val="0.75248895170155017"/>
          <c:h val="0.63023203830290453"/>
        </c:manualLayout>
      </c:layout>
      <c:barChart>
        <c:barDir val="col"/>
        <c:grouping val="clustered"/>
        <c:varyColors val="0"/>
        <c:ser>
          <c:idx val="0"/>
          <c:order val="0"/>
          <c:tx>
            <c:strRef>
              <c:f>Pivot_Data!$J$3</c:f>
              <c:strCache>
                <c:ptCount val="1"/>
                <c:pt idx="0">
                  <c:v>Sum of Target</c:v>
                </c:pt>
              </c:strCache>
            </c:strRef>
          </c:tx>
          <c:spPr>
            <a:solidFill>
              <a:schemeClr val="accent6">
                <a:lumMod val="60000"/>
                <a:lumOff val="40000"/>
              </a:schemeClr>
            </a:solidFill>
            <a:ln>
              <a:noFill/>
            </a:ln>
            <a:effectLst/>
          </c:spPr>
          <c:invertIfNegative val="0"/>
          <c:cat>
            <c:strRef>
              <c:f>Pivot_Data!$I$4:$I$8</c:f>
              <c:strCache>
                <c:ptCount val="4"/>
                <c:pt idx="0">
                  <c:v>East</c:v>
                </c:pt>
                <c:pt idx="1">
                  <c:v>North</c:v>
                </c:pt>
                <c:pt idx="2">
                  <c:v>South</c:v>
                </c:pt>
                <c:pt idx="3">
                  <c:v>West</c:v>
                </c:pt>
              </c:strCache>
            </c:strRef>
          </c:cat>
          <c:val>
            <c:numRef>
              <c:f>Pivot_Data!$J$4:$J$8</c:f>
              <c:numCache>
                <c:formatCode>General</c:formatCode>
                <c:ptCount val="4"/>
                <c:pt idx="0">
                  <c:v>6000</c:v>
                </c:pt>
                <c:pt idx="1">
                  <c:v>8000</c:v>
                </c:pt>
                <c:pt idx="2">
                  <c:v>14000</c:v>
                </c:pt>
                <c:pt idx="3">
                  <c:v>5000</c:v>
                </c:pt>
              </c:numCache>
            </c:numRef>
          </c:val>
          <c:extLst>
            <c:ext xmlns:c16="http://schemas.microsoft.com/office/drawing/2014/chart" uri="{C3380CC4-5D6E-409C-BE32-E72D297353CC}">
              <c16:uniqueId val="{00000000-5EF8-43F8-8A9A-A7E753AFA444}"/>
            </c:ext>
          </c:extLst>
        </c:ser>
        <c:ser>
          <c:idx val="1"/>
          <c:order val="1"/>
          <c:tx>
            <c:strRef>
              <c:f>Pivot_Data!$K$3</c:f>
              <c:strCache>
                <c:ptCount val="1"/>
                <c:pt idx="0">
                  <c:v>Sum of Final Sales</c:v>
                </c:pt>
              </c:strCache>
            </c:strRef>
          </c:tx>
          <c:spPr>
            <a:solidFill>
              <a:schemeClr val="accent6">
                <a:lumMod val="75000"/>
              </a:schemeClr>
            </a:solidFill>
            <a:ln>
              <a:noFill/>
            </a:ln>
            <a:effectLst/>
          </c:spPr>
          <c:invertIfNegative val="0"/>
          <c:cat>
            <c:strRef>
              <c:f>Pivot_Data!$I$4:$I$8</c:f>
              <c:strCache>
                <c:ptCount val="4"/>
                <c:pt idx="0">
                  <c:v>East</c:v>
                </c:pt>
                <c:pt idx="1">
                  <c:v>North</c:v>
                </c:pt>
                <c:pt idx="2">
                  <c:v>South</c:v>
                </c:pt>
                <c:pt idx="3">
                  <c:v>West</c:v>
                </c:pt>
              </c:strCache>
            </c:strRef>
          </c:cat>
          <c:val>
            <c:numRef>
              <c:f>Pivot_Data!$K$4:$K$8</c:f>
              <c:numCache>
                <c:formatCode>General</c:formatCode>
                <c:ptCount val="4"/>
                <c:pt idx="0">
                  <c:v>6000</c:v>
                </c:pt>
                <c:pt idx="1">
                  <c:v>4000</c:v>
                </c:pt>
                <c:pt idx="2">
                  <c:v>5500</c:v>
                </c:pt>
                <c:pt idx="3">
                  <c:v>3000</c:v>
                </c:pt>
              </c:numCache>
            </c:numRef>
          </c:val>
          <c:extLst>
            <c:ext xmlns:c16="http://schemas.microsoft.com/office/drawing/2014/chart" uri="{C3380CC4-5D6E-409C-BE32-E72D297353CC}">
              <c16:uniqueId val="{00000001-5EF8-43F8-8A9A-A7E753AFA444}"/>
            </c:ext>
          </c:extLst>
        </c:ser>
        <c:dLbls>
          <c:showLegendKey val="0"/>
          <c:showVal val="0"/>
          <c:showCatName val="0"/>
          <c:showSerName val="0"/>
          <c:showPercent val="0"/>
          <c:showBubbleSize val="0"/>
        </c:dLbls>
        <c:gapWidth val="219"/>
        <c:overlap val="-27"/>
        <c:axId val="11881743"/>
        <c:axId val="11894703"/>
      </c:barChart>
      <c:catAx>
        <c:axId val="1188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4703"/>
        <c:crosses val="autoZero"/>
        <c:auto val="1"/>
        <c:lblAlgn val="ctr"/>
        <c:lblOffset val="100"/>
        <c:noMultiLvlLbl val="0"/>
      </c:catAx>
      <c:valAx>
        <c:axId val="11894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1743"/>
        <c:crosses val="autoZero"/>
        <c:crossBetween val="between"/>
      </c:valAx>
      <c:spPr>
        <a:solidFill>
          <a:schemeClr val="accent6">
            <a:lumMod val="20000"/>
            <a:lumOff val="80000"/>
          </a:schemeClr>
        </a:solidFill>
        <a:ln>
          <a:noFill/>
        </a:ln>
        <a:effectLst/>
      </c:spPr>
    </c:plotArea>
    <c:legend>
      <c:legendPos val="r"/>
      <c:layout>
        <c:manualLayout>
          <c:xMode val="edge"/>
          <c:yMode val="edge"/>
          <c:x val="0.17787760504295935"/>
          <c:y val="0.78324211877361483"/>
          <c:w val="0.29505686789151359"/>
          <c:h val="0.216482434887946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[Sales_Performance_Dashboard.xlsx]Pivot_Data!PivotTable4</c:name>
    <c:fmtId val="3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Top Customers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Pivot_Data!$N$3</c:f>
              <c:strCache>
                <c:ptCount val="1"/>
                <c:pt idx="0">
                  <c:v>Total</c:v>
                </c:pt>
              </c:strCache>
            </c:strRef>
          </c:tx>
          <c:spPr>
            <a:solidFill>
              <a:schemeClr val="accent6">
                <a:lumMod val="60000"/>
                <a:lumOff val="40000"/>
              </a:schemeClr>
            </a:solidFill>
            <a:ln>
              <a:noFill/>
            </a:ln>
            <a:effectLst/>
          </c:spPr>
          <c:invertIfNegative val="0"/>
          <c:cat>
            <c:strRef>
              <c:f>Pivot_Data!$M$4:$M$7</c:f>
              <c:strCache>
                <c:ptCount val="3"/>
                <c:pt idx="0">
                  <c:v>Rahul Sharma</c:v>
                </c:pt>
                <c:pt idx="1">
                  <c:v>Neha Singh</c:v>
                </c:pt>
                <c:pt idx="2">
                  <c:v>Aman Verma</c:v>
                </c:pt>
              </c:strCache>
            </c:strRef>
          </c:cat>
          <c:val>
            <c:numRef>
              <c:f>Pivot_Data!$N$4:$N$7</c:f>
              <c:numCache>
                <c:formatCode>General</c:formatCode>
                <c:ptCount val="3"/>
                <c:pt idx="0">
                  <c:v>7000</c:v>
                </c:pt>
                <c:pt idx="1">
                  <c:v>5500</c:v>
                </c:pt>
                <c:pt idx="2">
                  <c:v>6000</c:v>
                </c:pt>
              </c:numCache>
            </c:numRef>
          </c:val>
          <c:extLst>
            <c:ext xmlns:c16="http://schemas.microsoft.com/office/drawing/2014/chart" uri="{C3380CC4-5D6E-409C-BE32-E72D297353CC}">
              <c16:uniqueId val="{00000000-B57F-4F7F-B4DB-B68E15ED5FDB}"/>
            </c:ext>
          </c:extLst>
        </c:ser>
        <c:dLbls>
          <c:showLegendKey val="0"/>
          <c:showVal val="0"/>
          <c:showCatName val="0"/>
          <c:showSerName val="0"/>
          <c:showPercent val="0"/>
          <c:showBubbleSize val="0"/>
        </c:dLbls>
        <c:gapWidth val="219"/>
        <c:overlap val="-27"/>
        <c:axId val="899734879"/>
        <c:axId val="899723359"/>
      </c:barChart>
      <c:catAx>
        <c:axId val="89973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723359"/>
        <c:crosses val="autoZero"/>
        <c:auto val="1"/>
        <c:lblAlgn val="ctr"/>
        <c:lblOffset val="100"/>
        <c:noMultiLvlLbl val="0"/>
      </c:catAx>
      <c:valAx>
        <c:axId val="89972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734879"/>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182881</xdr:colOff>
      <xdr:row>5</xdr:row>
      <xdr:rowOff>0</xdr:rowOff>
    </xdr:from>
    <xdr:to>
      <xdr:col>2</xdr:col>
      <xdr:colOff>1379221</xdr:colOff>
      <xdr:row>16</xdr:row>
      <xdr:rowOff>87630</xdr:rowOff>
    </xdr:to>
    <xdr:graphicFrame macro="">
      <xdr:nvGraphicFramePr>
        <xdr:cNvPr id="2" name="Chart 1">
          <a:extLst>
            <a:ext uri="{FF2B5EF4-FFF2-40B4-BE49-F238E27FC236}">
              <a16:creationId xmlns:a16="http://schemas.microsoft.com/office/drawing/2014/main" id="{E74028A9-EA7A-4819-904A-0E2E12FA5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1661160</xdr:colOff>
      <xdr:row>5</xdr:row>
      <xdr:rowOff>8561</xdr:rowOff>
    </xdr:from>
    <xdr:to>
      <xdr:col>8</xdr:col>
      <xdr:colOff>95026</xdr:colOff>
      <xdr:row>16</xdr:row>
      <xdr:rowOff>69521</xdr:rowOff>
    </xdr:to>
    <xdr:graphicFrame macro="">
      <xdr:nvGraphicFramePr>
        <xdr:cNvPr id="3" name="Chart 2">
          <a:extLst>
            <a:ext uri="{FF2B5EF4-FFF2-40B4-BE49-F238E27FC236}">
              <a16:creationId xmlns:a16="http://schemas.microsoft.com/office/drawing/2014/main" id="{91C3C97E-9F33-4DAF-8EE8-78F5AACDB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187850</xdr:colOff>
      <xdr:row>5</xdr:row>
      <xdr:rowOff>8282</xdr:rowOff>
    </xdr:from>
    <xdr:to>
      <xdr:col>14</xdr:col>
      <xdr:colOff>124240</xdr:colOff>
      <xdr:row>17</xdr:row>
      <xdr:rowOff>165652</xdr:rowOff>
    </xdr:to>
    <xdr:graphicFrame macro="">
      <xdr:nvGraphicFramePr>
        <xdr:cNvPr id="4" name="Chart 3">
          <a:extLst>
            <a:ext uri="{FF2B5EF4-FFF2-40B4-BE49-F238E27FC236}">
              <a16:creationId xmlns:a16="http://schemas.microsoft.com/office/drawing/2014/main" id="{8C97AD3B-D0AF-490B-912C-981C33EA3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213360</xdr:colOff>
      <xdr:row>5</xdr:row>
      <xdr:rowOff>0</xdr:rowOff>
    </xdr:from>
    <xdr:to>
      <xdr:col>19</xdr:col>
      <xdr:colOff>190500</xdr:colOff>
      <xdr:row>17</xdr:row>
      <xdr:rowOff>99060</xdr:rowOff>
    </xdr:to>
    <xdr:graphicFrame macro="">
      <xdr:nvGraphicFramePr>
        <xdr:cNvPr id="5" name="Chart 4">
          <a:extLst>
            <a:ext uri="{FF2B5EF4-FFF2-40B4-BE49-F238E27FC236}">
              <a16:creationId xmlns:a16="http://schemas.microsoft.com/office/drawing/2014/main" id="{02913121-EF45-4311-976A-BAE0B1E9B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147006</xdr:colOff>
      <xdr:row>0</xdr:row>
      <xdr:rowOff>117126</xdr:rowOff>
    </xdr:from>
    <xdr:to>
      <xdr:col>6</xdr:col>
      <xdr:colOff>592316</xdr:colOff>
      <xdr:row>3</xdr:row>
      <xdr:rowOff>282539</xdr:rowOff>
    </xdr:to>
    <mc:AlternateContent xmlns:mc="http://schemas.openxmlformats.org/markup-compatibility/2006" xmlns:a14="http://schemas.microsoft.com/office/drawing/2010/main">
      <mc:Choice Requires="a14">
        <xdr:graphicFrame macro="">
          <xdr:nvGraphicFramePr>
            <xdr:cNvPr id="6" name="Order Date">
              <a:extLst>
                <a:ext uri="{FF2B5EF4-FFF2-40B4-BE49-F238E27FC236}">
                  <a16:creationId xmlns:a16="http://schemas.microsoft.com/office/drawing/2014/main" id="{6B56F13C-5ABB-4399-B318-93006B6A060F}"/>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5911702" y="117126"/>
              <a:ext cx="1671136" cy="1358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130139</xdr:colOff>
      <xdr:row>0</xdr:row>
      <xdr:rowOff>137159</xdr:rowOff>
    </xdr:from>
    <xdr:to>
      <xdr:col>10</xdr:col>
      <xdr:colOff>127690</xdr:colOff>
      <xdr:row>3</xdr:row>
      <xdr:rowOff>83734</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4E436312-65B4-44E3-8333-DC01AC3F38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733574" y="137159"/>
              <a:ext cx="1836290" cy="1139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263104</xdr:colOff>
      <xdr:row>0</xdr:row>
      <xdr:rowOff>156083</xdr:rowOff>
    </xdr:from>
    <xdr:to>
      <xdr:col>13</xdr:col>
      <xdr:colOff>263105</xdr:colOff>
      <xdr:row>3</xdr:row>
      <xdr:rowOff>300778</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13C1DFC-1DC4-4717-8F60-E51C0B8D5BB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05278" y="156083"/>
              <a:ext cx="1838740" cy="13373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2.549913888892" createdVersion="8" refreshedVersion="8" minRefreshableVersion="3" recordCount="5" xr:uid="{A6AFB577-031B-45D2-A2A2-54D7430CB677}">
  <cacheSource type="worksheet">
    <worksheetSource name="Table1_2"/>
  </cacheSource>
  <cacheFields count="12">
    <cacheField name="Order ID" numFmtId="0">
      <sharedItems containsSemiMixedTypes="0" containsString="0" containsNumber="1" containsInteger="1" minValue="1001" maxValue="1006"/>
    </cacheField>
    <cacheField name="Order Date" numFmtId="14">
      <sharedItems containsSemiMixedTypes="0" containsNonDate="0" containsDate="1" containsString="0" minDate="2025-01-01T00:00:00" maxDate="2025-06-02T00:00:00" count="4">
        <d v="2025-01-01T00:00:00"/>
        <d v="2025-02-01T00:00:00"/>
        <d v="2025-04-01T00:00:00"/>
        <d v="2025-06-01T00:00:00"/>
      </sharedItems>
    </cacheField>
    <cacheField name="Cust ID" numFmtId="0">
      <sharedItems/>
    </cacheField>
    <cacheField name="Prod ID" numFmtId="0">
      <sharedItems/>
    </cacheField>
    <cacheField name="Region" numFmtId="0">
      <sharedItems count="4">
        <s v="North"/>
        <s v="South"/>
        <s v="East"/>
        <s v="West"/>
      </sharedItems>
    </cacheField>
    <cacheField name="Qty" numFmtId="0">
      <sharedItems containsSemiMixedTypes="0" containsString="0" containsNumber="1" containsInteger="1" minValue="1" maxValue="3"/>
    </cacheField>
    <cacheField name="Sales" numFmtId="0">
      <sharedItems containsSemiMixedTypes="0" containsString="0" containsNumber="1" containsInteger="1" minValue="1500" maxValue="6000"/>
    </cacheField>
    <cacheField name="Price" numFmtId="0">
      <sharedItems containsSemiMixedTypes="0" containsString="0" containsNumber="1" containsInteger="1" minValue="1500" maxValue="2000"/>
    </cacheField>
    <cacheField name="Customer Name" numFmtId="0">
      <sharedItems count="3">
        <s v="Rahul Sharma"/>
        <s v="Neha Singh"/>
        <s v="Aman Verma"/>
      </sharedItems>
    </cacheField>
    <cacheField name="Category" numFmtId="0">
      <sharedItems count="3">
        <s v="Electronics"/>
        <s v="Office"/>
        <s v="Furniture"/>
      </sharedItems>
    </cacheField>
    <cacheField name="Target" numFmtId="0">
      <sharedItems containsSemiMixedTypes="0" containsString="0" containsNumber="1" containsInteger="1" minValue="5000" maxValue="8000"/>
    </cacheField>
    <cacheField name="Final Sales" numFmtId="0">
      <sharedItems containsSemiMixedTypes="0" containsString="0" containsNumber="1" containsInteger="1" minValue="1500" maxValue="6000" count="4">
        <n v="4000"/>
        <n v="1500"/>
        <n v="6000"/>
        <n v="3000"/>
      </sharedItems>
    </cacheField>
  </cacheFields>
  <extLst>
    <ext xmlns:x14="http://schemas.microsoft.com/office/spreadsheetml/2009/9/main" uri="{725AE2AE-9491-48be-B2B4-4EB974FC3084}">
      <x14:pivotCacheDefinition pivotCacheId="1926193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001"/>
    <x v="0"/>
    <s v="C01"/>
    <s v="P01"/>
    <x v="0"/>
    <n v="2"/>
    <n v="4000"/>
    <n v="2000"/>
    <x v="0"/>
    <x v="0"/>
    <n v="8000"/>
    <x v="0"/>
  </r>
  <r>
    <n v="1002"/>
    <x v="1"/>
    <s v="C02"/>
    <s v="P03"/>
    <x v="1"/>
    <n v="1"/>
    <n v="1500"/>
    <n v="1500"/>
    <x v="1"/>
    <x v="1"/>
    <n v="7000"/>
    <x v="1"/>
  </r>
  <r>
    <n v="1003"/>
    <x v="0"/>
    <s v="C03"/>
    <s v="P02"/>
    <x v="2"/>
    <n v="3"/>
    <n v="6000"/>
    <n v="2000"/>
    <x v="2"/>
    <x v="0"/>
    <n v="6000"/>
    <x v="2"/>
  </r>
  <r>
    <n v="1004"/>
    <x v="2"/>
    <s v="C01"/>
    <s v="P04"/>
    <x v="3"/>
    <n v="2"/>
    <n v="3000"/>
    <n v="1500"/>
    <x v="0"/>
    <x v="2"/>
    <n v="5000"/>
    <x v="3"/>
  </r>
  <r>
    <n v="1006"/>
    <x v="3"/>
    <s v="C02"/>
    <s v="P01"/>
    <x v="1"/>
    <n v="2"/>
    <n v="4000"/>
    <n v="2000"/>
    <x v="1"/>
    <x v="0"/>
    <n v="7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53F44D-BCBB-412F-B21F-33C6A070EE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M3:N7" firstHeaderRow="1" firstDataRow="1" firstDataCol="1"/>
  <pivotFields count="12">
    <pivotField showAll="0"/>
    <pivotField numFmtId="14" showAll="0"/>
    <pivotField showAll="0"/>
    <pivotField showAll="0"/>
    <pivotField showAll="0"/>
    <pivotField showAll="0"/>
    <pivotField showAll="0"/>
    <pivotField showAll="0"/>
    <pivotField axis="axisRow" showAll="0" sortType="descending">
      <items count="4">
        <item x="0"/>
        <item x="1"/>
        <item x="2"/>
        <item t="default"/>
      </items>
    </pivotField>
    <pivotField showAll="0"/>
    <pivotField showAll="0"/>
    <pivotField dataField="1" showAll="0"/>
  </pivotFields>
  <rowFields count="1">
    <field x="8"/>
  </rowFields>
  <rowItems count="4">
    <i>
      <x/>
    </i>
    <i>
      <x v="1"/>
    </i>
    <i>
      <x v="2"/>
    </i>
    <i t="grand">
      <x/>
    </i>
  </rowItems>
  <colItems count="1">
    <i/>
  </colItems>
  <dataFields count="1">
    <dataField name="Sum of Final Sales" fld="11" baseField="0" baseItem="0"/>
  </dataFields>
  <chartFormats count="4">
    <chartFormat chart="33" format="0" series="1">
      <pivotArea type="data" outline="0" fieldPosition="0">
        <references count="1">
          <reference field="4294967294" count="1" selected="0">
            <x v="0"/>
          </reference>
        </references>
      </pivotArea>
    </chartFormat>
    <chartFormat chart="33" format="1">
      <pivotArea type="data" outline="0" fieldPosition="0">
        <references count="2">
          <reference field="4294967294" count="1" selected="0">
            <x v="0"/>
          </reference>
          <reference field="8" count="1" selected="0">
            <x v="2"/>
          </reference>
        </references>
      </pivotArea>
    </chartFormat>
    <chartFormat chart="33" format="2">
      <pivotArea type="data" outline="0" fieldPosition="0">
        <references count="2">
          <reference field="4294967294" count="1" selected="0">
            <x v="0"/>
          </reference>
          <reference field="8" count="1" selected="0">
            <x v="1"/>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7BE6F3-0C88-482E-BF83-BEF1B50E33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K8" firstHeaderRow="0" firstDataRow="1" firstDataCol="1"/>
  <pivotFields count="12">
    <pivotField showAll="0"/>
    <pivotField numFmtId="14" showAll="0"/>
    <pivotField showAll="0"/>
    <pivotField showAll="0"/>
    <pivotField axis="axisRow" showAll="0">
      <items count="5">
        <item x="2"/>
        <item x="0"/>
        <item x="1"/>
        <item x="3"/>
        <item t="default"/>
      </items>
    </pivotField>
    <pivotField showAll="0"/>
    <pivotField showAll="0"/>
    <pivotField showAll="0"/>
    <pivotField showAll="0"/>
    <pivotField showAll="0">
      <items count="4">
        <item x="0"/>
        <item x="2"/>
        <item x="1"/>
        <item t="default"/>
      </items>
    </pivotField>
    <pivotField dataField="1" showAll="0"/>
    <pivotField dataField="1" showAll="0"/>
  </pivotFields>
  <rowFields count="1">
    <field x="4"/>
  </rowFields>
  <rowItems count="5">
    <i>
      <x/>
    </i>
    <i>
      <x v="1"/>
    </i>
    <i>
      <x v="2"/>
    </i>
    <i>
      <x v="3"/>
    </i>
    <i t="grand">
      <x/>
    </i>
  </rowItems>
  <colFields count="1">
    <field x="-2"/>
  </colFields>
  <colItems count="2">
    <i>
      <x/>
    </i>
    <i i="1">
      <x v="1"/>
    </i>
  </colItems>
  <dataFields count="2">
    <dataField name="Sum of Target" fld="10" baseField="0" baseItem="0"/>
    <dataField name="Sum of Final Sales" fld="11"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BAD838-4DAD-4FEB-8B1C-02ACC258AD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7" firstHeaderRow="1" firstDataRow="1" firstDataCol="1"/>
  <pivotFields count="12">
    <pivotField showAll="0"/>
    <pivotField numFmtId="14"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dataField="1" showAll="0"/>
  </pivotFields>
  <rowFields count="1">
    <field x="9"/>
  </rowFields>
  <rowItems count="4">
    <i>
      <x/>
    </i>
    <i>
      <x v="1"/>
    </i>
    <i>
      <x v="2"/>
    </i>
    <i t="grand">
      <x/>
    </i>
  </rowItems>
  <colItems count="1">
    <i/>
  </colItems>
  <dataFields count="1">
    <dataField name="Sum of Final Sales" fld="11"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2"/>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F900CC-960E-4EAF-BEE7-71ACF983EB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2">
    <pivotField showAll="0"/>
    <pivotField numFmtId="14" showAll="0">
      <items count="5">
        <item x="0"/>
        <item x="1"/>
        <item x="2"/>
        <item x="3"/>
        <item t="default"/>
      </items>
    </pivotField>
    <pivotField showAll="0"/>
    <pivotField showAll="0"/>
    <pivotField axis="axisRow" showAll="0">
      <items count="5">
        <item x="2"/>
        <item x="0"/>
        <item x="1"/>
        <item x="3"/>
        <item t="default"/>
      </items>
    </pivotField>
    <pivotField showAll="0"/>
    <pivotField showAll="0"/>
    <pivotField showAll="0"/>
    <pivotField showAll="0"/>
    <pivotField showAll="0">
      <items count="4">
        <item x="0"/>
        <item x="2"/>
        <item x="1"/>
        <item t="default"/>
      </items>
    </pivotField>
    <pivotField showAll="0"/>
    <pivotField dataField="1" showAll="0"/>
  </pivotFields>
  <rowFields count="1">
    <field x="4"/>
  </rowFields>
  <rowItems count="5">
    <i>
      <x/>
    </i>
    <i>
      <x v="1"/>
    </i>
    <i>
      <x v="2"/>
    </i>
    <i>
      <x v="3"/>
    </i>
    <i t="grand">
      <x/>
    </i>
  </rowItems>
  <colItems count="1">
    <i/>
  </colItems>
  <dataFields count="1">
    <dataField name="Sum of Final Sales" fld="11"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B923B06-285E-4053-9374-C597DD2F1BDD}" autoFormatId="16" applyNumberFormats="0" applyBorderFormats="0" applyFontFormats="0" applyPatternFormats="0" applyAlignmentFormats="0" applyWidthHeightFormats="0">
  <queryTableRefresh nextId="13" unboundColumnsRight="5">
    <queryTableFields count="12">
      <queryTableField id="1" name="Order ID" tableColumnId="8"/>
      <queryTableField id="2" name="Order Date" tableColumnId="2"/>
      <queryTableField id="3" name="Cust ID" tableColumnId="3"/>
      <queryTableField id="4" name="Prod ID" tableColumnId="4"/>
      <queryTableField id="5" name="Region" tableColumnId="5"/>
      <queryTableField id="6" name="Qty" tableColumnId="6"/>
      <queryTableField id="7" name="Sales" tableColumnId="7"/>
      <queryTableField id="8" dataBound="0" tableColumnId="9"/>
      <queryTableField id="9" dataBound="0" tableColumnId="10"/>
      <queryTableField id="10" dataBound="0" tableColumnId="11"/>
      <queryTableField id="11" dataBound="0" tableColumnId="12"/>
      <queryTableField id="12"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F7D7B23-BC29-4E21-BB7B-7D63C3086E9A}" sourceName="Order Date">
  <pivotTables>
    <pivotTable tabId="6" name="PivotTable1"/>
  </pivotTables>
  <data>
    <tabular pivotCacheId="192619309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E5AA80-95C0-4CF3-BB5A-FD9C437D33D5}" sourceName="Category">
  <pivotTables>
    <pivotTable tabId="6" name="PivotTable1"/>
    <pivotTable tabId="6" name="PivotTable2"/>
    <pivotTable tabId="6" name="PivotTable3"/>
  </pivotTables>
  <data>
    <tabular pivotCacheId="192619309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D88E03-1C08-4430-B625-18DADD7887AF}" sourceName="Region">
  <pivotTables>
    <pivotTable tabId="6" name="PivotTable1"/>
  </pivotTables>
  <data>
    <tabular pivotCacheId="1926193099">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36847917-9064-44B4-A526-2261961EF5A7}" cache="Slicer_Order_Date" caption="Order Date" style="SlicerStyleLight6" rowHeight="234950"/>
  <slicer name="Category" xr10:uid="{CA5735DA-6D30-4599-A895-316EC223E1C2}" cache="Slicer_Category" caption="Category" style="SlicerStyleLight6" rowHeight="234950"/>
  <slicer name="Region" xr10:uid="{FB5585D7-1B5F-4F90-884C-F87F8FEB1107}" cache="Slicer_Region" caption="Region" style="SlicerStyleLight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7729A1-0CF3-490B-A0A0-56E71C6A8042}" name="Table1" displayName="Table1" ref="A1:G7" totalsRowShown="0" headerRowDxfId="32" dataDxfId="31">
  <autoFilter ref="A1:G7" xr:uid="{B17729A1-0CF3-490B-A0A0-56E71C6A8042}"/>
  <tableColumns count="7">
    <tableColumn id="1" xr3:uid="{886AB193-2732-446F-98BF-5A4D88CEF123}" name="Order ID" dataDxfId="30"/>
    <tableColumn id="2" xr3:uid="{2463FB09-39A5-4C04-98D8-79912D41D944}" name="Order Date" dataDxfId="29"/>
    <tableColumn id="3" xr3:uid="{76177AA5-58C1-49E5-9672-DE360E035123}" name="Cust ID" dataDxfId="28"/>
    <tableColumn id="4" xr3:uid="{914525C1-D31A-45FD-BEB5-1C7A3EEE1F5C}" name="Prod ID" dataDxfId="27"/>
    <tableColumn id="5" xr3:uid="{62D9DB5A-0FED-40E6-A6A7-6B4775532E95}" name="Region" dataDxfId="26"/>
    <tableColumn id="6" xr3:uid="{09088262-D35B-4063-B380-F9955190FA90}" name="Qty" dataDxfId="25"/>
    <tableColumn id="7" xr3:uid="{19169935-2E91-4B91-A770-1C51F05054A2}" name="Sales"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CADE2C-B1FF-40FB-8E24-E0BFBA235F9C}" name="Table1_2" displayName="Table1_2" ref="A1:L7" tableType="queryTable" totalsRowCount="1">
  <autoFilter ref="A1:L6" xr:uid="{E2CADE2C-B1FF-40FB-8E24-E0BFBA235F9C}"/>
  <tableColumns count="12">
    <tableColumn id="8" xr3:uid="{8580B1E2-1C84-436A-8605-83669909C260}" uniqueName="8" name="Order ID" queryTableFieldId="1" dataDxfId="23" totalsRowDxfId="22"/>
    <tableColumn id="2" xr3:uid="{B447ADF1-2BA3-47FC-82DA-CC022D096F56}" uniqueName="2" name="Order Date" queryTableFieldId="2" dataDxfId="21" totalsRowDxfId="20"/>
    <tableColumn id="3" xr3:uid="{7B2737B6-AF0F-4524-8F8F-3E66390B6986}" uniqueName="3" name="Cust ID" queryTableFieldId="3" dataDxfId="19" totalsRowDxfId="18"/>
    <tableColumn id="4" xr3:uid="{03E265B9-45C2-486D-BB71-B01146CDA133}" uniqueName="4" name="Prod ID" queryTableFieldId="4" dataDxfId="17" totalsRowDxfId="16"/>
    <tableColumn id="5" xr3:uid="{46378B53-450F-41ED-9233-69B9DCAC3950}" uniqueName="5" name="Region" queryTableFieldId="5" dataDxfId="15" totalsRowDxfId="14"/>
    <tableColumn id="6" xr3:uid="{D110ED90-D12C-4993-A7A6-62D2ADFB1BF7}" uniqueName="6" name="Qty" queryTableFieldId="6" dataDxfId="13" totalsRowDxfId="12"/>
    <tableColumn id="7" xr3:uid="{05D19B30-397A-4AF1-8687-69E4B51254FC}" uniqueName="7" name="Sales" queryTableFieldId="7" dataDxfId="11" totalsRowDxfId="10"/>
    <tableColumn id="9" xr3:uid="{E753BD09-D599-438E-BF1D-292ED8786E9E}" uniqueName="9" name="Price" queryTableFieldId="8" dataDxfId="9" totalsRowDxfId="8">
      <calculatedColumnFormula>VLOOKUP(Table1_2[[#This Row],[Prod ID]],Products!A:D,4,FALSE)</calculatedColumnFormula>
    </tableColumn>
    <tableColumn id="10" xr3:uid="{3C5BD47B-9AA5-448E-B18C-E6E885C07AFA}" uniqueName="10" name="Customer Name" queryTableFieldId="9" dataDxfId="7" totalsRowDxfId="6">
      <calculatedColumnFormula>INDEX(Customers!B:B, MATCH(C2, Customers!A:A, 0))</calculatedColumnFormula>
    </tableColumn>
    <tableColumn id="11" xr3:uid="{A3338D93-A8BD-4B60-B697-311C2A8064C5}" uniqueName="11" name="Category" queryTableFieldId="10" dataDxfId="5" totalsRowDxfId="4">
      <calculatedColumnFormula>INDEX(Products!C:C, MATCH(Table1_2[[#This Row],[Prod ID]],Products!A:A,0))</calculatedColumnFormula>
    </tableColumn>
    <tableColumn id="12" xr3:uid="{747BC907-8DB2-4EDD-B773-DA30C88BA39F}" uniqueName="12" name="Target" queryTableFieldId="11" dataDxfId="3" totalsRowDxfId="2">
      <calculatedColumnFormula>INDEX(Region_Targets!B:B,MATCH(Table1_2[[#This Row],[Region]],Region_Targets!A:A,0))</calculatedColumnFormula>
    </tableColumn>
    <tableColumn id="13" xr3:uid="{DB58BDCB-C6C3-4F50-A64C-B0818923DB0D}" uniqueName="13" name="Final Sales" queryTableFieldId="12" dataDxfId="1" totalsRowDxfId="0">
      <calculatedColumnFormula>Table1_2[[#This Row],[Qty]]*Table1_2[[#This Row],[Price]]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ACFC2-BE4D-4EB3-82DF-13049BCDA7CF}">
  <dimension ref="A1:G7"/>
  <sheetViews>
    <sheetView workbookViewId="0">
      <selection sqref="A1:G7"/>
    </sheetView>
  </sheetViews>
  <sheetFormatPr defaultRowHeight="14.4" x14ac:dyDescent="0.3"/>
  <cols>
    <col min="1" max="1" width="9.88671875" customWidth="1"/>
    <col min="2" max="2" width="12" customWidth="1"/>
    <col min="4" max="4" width="9.109375" customWidth="1"/>
  </cols>
  <sheetData>
    <row r="1" spans="1:7" ht="28.8" x14ac:dyDescent="0.3">
      <c r="A1" s="1" t="s">
        <v>0</v>
      </c>
      <c r="B1" s="1" t="s">
        <v>1</v>
      </c>
      <c r="C1" s="1" t="s">
        <v>2</v>
      </c>
      <c r="D1" s="1" t="s">
        <v>3</v>
      </c>
      <c r="E1" s="1" t="s">
        <v>4</v>
      </c>
      <c r="F1" s="1" t="s">
        <v>5</v>
      </c>
      <c r="G1" s="1" t="s">
        <v>6</v>
      </c>
    </row>
    <row r="2" spans="1:7" x14ac:dyDescent="0.3">
      <c r="A2" s="2">
        <v>1001</v>
      </c>
      <c r="B2" s="4">
        <v>45658</v>
      </c>
      <c r="C2" s="2" t="s">
        <v>7</v>
      </c>
      <c r="D2" s="2" t="s">
        <v>8</v>
      </c>
      <c r="E2" s="2" t="s">
        <v>9</v>
      </c>
      <c r="F2" s="2">
        <v>2</v>
      </c>
      <c r="G2" s="2">
        <v>4000</v>
      </c>
    </row>
    <row r="3" spans="1:7" x14ac:dyDescent="0.3">
      <c r="A3" s="2">
        <v>1002</v>
      </c>
      <c r="B3" s="4">
        <v>45689</v>
      </c>
      <c r="C3" s="2" t="s">
        <v>10</v>
      </c>
      <c r="D3" s="2" t="s">
        <v>11</v>
      </c>
      <c r="E3" s="2" t="s">
        <v>12</v>
      </c>
      <c r="F3" s="2">
        <v>1</v>
      </c>
      <c r="G3" s="2">
        <v>1500</v>
      </c>
    </row>
    <row r="4" spans="1:7" x14ac:dyDescent="0.3">
      <c r="A4" s="2">
        <v>1003</v>
      </c>
      <c r="B4" s="2"/>
      <c r="C4" s="2" t="s">
        <v>13</v>
      </c>
      <c r="D4" s="2" t="s">
        <v>14</v>
      </c>
      <c r="E4" s="2" t="s">
        <v>15</v>
      </c>
      <c r="F4" s="2">
        <v>3</v>
      </c>
      <c r="G4" s="2">
        <v>6000</v>
      </c>
    </row>
    <row r="5" spans="1:7" x14ac:dyDescent="0.3">
      <c r="A5" s="2">
        <v>1004</v>
      </c>
      <c r="B5" s="4">
        <v>45748</v>
      </c>
      <c r="C5" s="2" t="s">
        <v>7</v>
      </c>
      <c r="D5" s="2" t="s">
        <v>16</v>
      </c>
      <c r="E5" s="2" t="s">
        <v>17</v>
      </c>
      <c r="F5" s="2" t="s">
        <v>18</v>
      </c>
      <c r="G5" s="2">
        <v>3000</v>
      </c>
    </row>
    <row r="6" spans="1:7" x14ac:dyDescent="0.3">
      <c r="A6" s="2">
        <v>1005</v>
      </c>
      <c r="B6" s="4">
        <v>45778</v>
      </c>
      <c r="C6" s="2" t="s">
        <v>19</v>
      </c>
      <c r="D6" s="2"/>
      <c r="E6" s="2" t="s">
        <v>9</v>
      </c>
      <c r="F6" s="2">
        <v>1</v>
      </c>
      <c r="G6" s="2"/>
    </row>
    <row r="7" spans="1:7" x14ac:dyDescent="0.3">
      <c r="A7" s="2">
        <v>1006</v>
      </c>
      <c r="B7" s="4">
        <v>45809</v>
      </c>
      <c r="C7" s="2" t="s">
        <v>10</v>
      </c>
      <c r="D7" s="2" t="s">
        <v>8</v>
      </c>
      <c r="E7" s="2" t="s">
        <v>12</v>
      </c>
      <c r="F7" s="2">
        <v>2</v>
      </c>
      <c r="G7" s="2">
        <v>4000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10BE6-AD99-453F-992D-7BFC07ED26CB}">
  <dimension ref="A1:C5"/>
  <sheetViews>
    <sheetView workbookViewId="0">
      <selection sqref="A1:C5"/>
    </sheetView>
  </sheetViews>
  <sheetFormatPr defaultRowHeight="14.4" x14ac:dyDescent="0.3"/>
  <sheetData>
    <row r="1" spans="1:3" ht="28.8" x14ac:dyDescent="0.3">
      <c r="A1" s="1" t="s">
        <v>20</v>
      </c>
      <c r="B1" s="1" t="s">
        <v>21</v>
      </c>
      <c r="C1" s="1" t="s">
        <v>22</v>
      </c>
    </row>
    <row r="2" spans="1:3" ht="28.8" x14ac:dyDescent="0.3">
      <c r="A2" s="2" t="s">
        <v>7</v>
      </c>
      <c r="B2" s="2" t="s">
        <v>23</v>
      </c>
      <c r="C2" s="2" t="s">
        <v>24</v>
      </c>
    </row>
    <row r="3" spans="1:3" ht="28.8" x14ac:dyDescent="0.3">
      <c r="A3" s="2" t="s">
        <v>10</v>
      </c>
      <c r="B3" s="2" t="s">
        <v>25</v>
      </c>
      <c r="C3" s="2" t="s">
        <v>26</v>
      </c>
    </row>
    <row r="4" spans="1:3" ht="28.8" x14ac:dyDescent="0.3">
      <c r="A4" s="2" t="s">
        <v>13</v>
      </c>
      <c r="B4" s="2" t="s">
        <v>27</v>
      </c>
      <c r="C4" s="2" t="s">
        <v>24</v>
      </c>
    </row>
    <row r="5" spans="1:3" ht="28.8" x14ac:dyDescent="0.3">
      <c r="A5" s="2" t="s">
        <v>19</v>
      </c>
      <c r="B5" s="2" t="s">
        <v>28</v>
      </c>
      <c r="C5" s="2"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B52EE-52F4-4D18-A8BE-281ACD8248C0}">
  <dimension ref="A1:D5"/>
  <sheetViews>
    <sheetView workbookViewId="0">
      <selection activeCell="C1" sqref="C1:C1048576"/>
    </sheetView>
  </sheetViews>
  <sheetFormatPr defaultRowHeight="14.4" x14ac:dyDescent="0.3"/>
  <sheetData>
    <row r="1" spans="1:4" ht="28.8" x14ac:dyDescent="0.3">
      <c r="A1" s="1" t="s">
        <v>30</v>
      </c>
      <c r="B1" s="1" t="s">
        <v>31</v>
      </c>
      <c r="C1" s="1" t="s">
        <v>32</v>
      </c>
      <c r="D1" s="1" t="s">
        <v>33</v>
      </c>
    </row>
    <row r="2" spans="1:4" ht="28.8" x14ac:dyDescent="0.3">
      <c r="A2" s="2" t="s">
        <v>8</v>
      </c>
      <c r="B2" s="2" t="s">
        <v>34</v>
      </c>
      <c r="C2" s="2" t="s">
        <v>35</v>
      </c>
      <c r="D2" s="2">
        <v>2000</v>
      </c>
    </row>
    <row r="3" spans="1:4" ht="28.8" x14ac:dyDescent="0.3">
      <c r="A3" s="2" t="s">
        <v>14</v>
      </c>
      <c r="B3" s="2" t="s">
        <v>36</v>
      </c>
      <c r="C3" s="2" t="s">
        <v>35</v>
      </c>
      <c r="D3" s="2">
        <v>2000</v>
      </c>
    </row>
    <row r="4" spans="1:4" x14ac:dyDescent="0.3">
      <c r="A4" s="2" t="s">
        <v>11</v>
      </c>
      <c r="B4" s="2" t="s">
        <v>37</v>
      </c>
      <c r="C4" s="2" t="s">
        <v>38</v>
      </c>
      <c r="D4" s="2">
        <v>1500</v>
      </c>
    </row>
    <row r="5" spans="1:4" x14ac:dyDescent="0.3">
      <c r="A5" s="2" t="s">
        <v>16</v>
      </c>
      <c r="B5" s="2" t="s">
        <v>39</v>
      </c>
      <c r="C5" s="2" t="s">
        <v>40</v>
      </c>
      <c r="D5" s="2">
        <v>1500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BE801-75E8-4121-8D92-5E106145F36F}">
  <dimension ref="A1:B5"/>
  <sheetViews>
    <sheetView workbookViewId="0">
      <selection activeCell="E17" sqref="E17"/>
    </sheetView>
  </sheetViews>
  <sheetFormatPr defaultRowHeight="14.4" x14ac:dyDescent="0.3"/>
  <sheetData>
    <row r="1" spans="1:2" ht="28.8" x14ac:dyDescent="0.3">
      <c r="A1" s="1" t="s">
        <v>4</v>
      </c>
      <c r="B1" s="1" t="s">
        <v>41</v>
      </c>
    </row>
    <row r="2" spans="1:2" x14ac:dyDescent="0.3">
      <c r="A2" s="2" t="s">
        <v>9</v>
      </c>
      <c r="B2" s="2">
        <v>8000</v>
      </c>
    </row>
    <row r="3" spans="1:2" x14ac:dyDescent="0.3">
      <c r="A3" s="2" t="s">
        <v>12</v>
      </c>
      <c r="B3" s="2">
        <v>7000</v>
      </c>
    </row>
    <row r="4" spans="1:2" x14ac:dyDescent="0.3">
      <c r="A4" s="2" t="s">
        <v>15</v>
      </c>
      <c r="B4" s="2">
        <v>6000</v>
      </c>
    </row>
    <row r="5" spans="1:2" x14ac:dyDescent="0.3">
      <c r="A5" s="2" t="s">
        <v>17</v>
      </c>
      <c r="B5" s="2">
        <v>5000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980DC-0402-46A3-80B3-038542F5D5A9}">
  <dimension ref="A1:L7"/>
  <sheetViews>
    <sheetView workbookViewId="0">
      <selection activeCell="G28" sqref="G28:G31"/>
    </sheetView>
  </sheetViews>
  <sheetFormatPr defaultRowHeight="14.4" x14ac:dyDescent="0.3"/>
  <cols>
    <col min="1" max="1" width="10.21875" bestFit="1" customWidth="1"/>
    <col min="2" max="2" width="12.33203125" bestFit="1" customWidth="1"/>
    <col min="3" max="3" width="9.109375" bestFit="1" customWidth="1"/>
    <col min="4" max="4" width="9.44140625" bestFit="1" customWidth="1"/>
    <col min="5" max="5" width="9" bestFit="1" customWidth="1"/>
    <col min="6" max="6" width="6.21875" bestFit="1" customWidth="1"/>
    <col min="7" max="7" width="7.44140625" bestFit="1" customWidth="1"/>
  </cols>
  <sheetData>
    <row r="1" spans="1:12" x14ac:dyDescent="0.3">
      <c r="A1" t="s">
        <v>0</v>
      </c>
      <c r="B1" t="s">
        <v>1</v>
      </c>
      <c r="C1" t="s">
        <v>2</v>
      </c>
      <c r="D1" t="s">
        <v>3</v>
      </c>
      <c r="E1" t="s">
        <v>4</v>
      </c>
      <c r="F1" t="s">
        <v>5</v>
      </c>
      <c r="G1" t="s">
        <v>6</v>
      </c>
      <c r="H1" t="s">
        <v>33</v>
      </c>
      <c r="I1" t="s">
        <v>21</v>
      </c>
      <c r="J1" t="s">
        <v>32</v>
      </c>
      <c r="K1" t="s">
        <v>42</v>
      </c>
      <c r="L1" t="s">
        <v>43</v>
      </c>
    </row>
    <row r="2" spans="1:12" x14ac:dyDescent="0.3">
      <c r="A2">
        <v>1001</v>
      </c>
      <c r="B2" s="3">
        <v>45658</v>
      </c>
      <c r="C2" t="s">
        <v>7</v>
      </c>
      <c r="D2" t="s">
        <v>8</v>
      </c>
      <c r="E2" t="s">
        <v>9</v>
      </c>
      <c r="F2">
        <v>2</v>
      </c>
      <c r="G2">
        <v>4000</v>
      </c>
      <c r="H2">
        <f>VLOOKUP(Table1_2[[#This Row],[Prod ID]],Products!A:D,4,FALSE)</f>
        <v>2000</v>
      </c>
      <c r="I2" t="str">
        <f>INDEX(Customers!B:B, MATCH(C2, Customers!A:A, 0))</f>
        <v>Rahul Sharma</v>
      </c>
      <c r="J2" t="str">
        <f>INDEX(Products!C:C, MATCH(Table1_2[[#This Row],[Prod ID]],Products!A:A,0))</f>
        <v>Electronics</v>
      </c>
      <c r="K2">
        <f>INDEX(Region_Targets!B:B,MATCH(Table1_2[[#This Row],[Region]],Region_Targets!A:A,0))</f>
        <v>8000</v>
      </c>
      <c r="L2">
        <f>Table1_2[[#This Row],[Qty]]*Table1_2[[#This Row],[Price]]</f>
        <v>4000</v>
      </c>
    </row>
    <row r="3" spans="1:12" x14ac:dyDescent="0.3">
      <c r="A3">
        <v>1002</v>
      </c>
      <c r="B3" s="3">
        <v>45689</v>
      </c>
      <c r="C3" t="s">
        <v>10</v>
      </c>
      <c r="D3" t="s">
        <v>11</v>
      </c>
      <c r="E3" t="s">
        <v>12</v>
      </c>
      <c r="F3">
        <v>1</v>
      </c>
      <c r="G3">
        <v>1500</v>
      </c>
      <c r="H3">
        <f>VLOOKUP(Table1_2[[#This Row],[Prod ID]],Products!A:D,4,FALSE)</f>
        <v>1500</v>
      </c>
      <c r="I3" t="str">
        <f>INDEX(Customers!B:B, MATCH(C3, Customers!A:A, 0))</f>
        <v>Neha Singh</v>
      </c>
      <c r="J3" t="str">
        <f>INDEX(Products!C:C, MATCH(Table1_2[[#This Row],[Prod ID]],Products!A:A,0))</f>
        <v>Office</v>
      </c>
      <c r="K3">
        <f>INDEX(Region_Targets!B:B,MATCH(Table1_2[[#This Row],[Region]],Region_Targets!A:A,0))</f>
        <v>7000</v>
      </c>
      <c r="L3">
        <f>Table1_2[[#This Row],[Qty]]*Table1_2[[#This Row],[Price]]</f>
        <v>1500</v>
      </c>
    </row>
    <row r="4" spans="1:12" x14ac:dyDescent="0.3">
      <c r="A4">
        <v>1003</v>
      </c>
      <c r="B4" s="3">
        <v>45658</v>
      </c>
      <c r="C4" t="s">
        <v>13</v>
      </c>
      <c r="D4" t="s">
        <v>14</v>
      </c>
      <c r="E4" t="s">
        <v>15</v>
      </c>
      <c r="F4">
        <v>3</v>
      </c>
      <c r="G4">
        <v>6000</v>
      </c>
      <c r="H4">
        <f>VLOOKUP(Table1_2[[#This Row],[Prod ID]],Products!A:D,4,FALSE)</f>
        <v>2000</v>
      </c>
      <c r="I4" t="str">
        <f>INDEX(Customers!B:B, MATCH(C4, Customers!A:A, 0))</f>
        <v>Aman Verma</v>
      </c>
      <c r="J4" t="str">
        <f>INDEX(Products!C:C, MATCH(Table1_2[[#This Row],[Prod ID]],Products!A:A,0))</f>
        <v>Electronics</v>
      </c>
      <c r="K4">
        <f>INDEX(Region_Targets!B:B,MATCH(Table1_2[[#This Row],[Region]],Region_Targets!A:A,0))</f>
        <v>6000</v>
      </c>
      <c r="L4">
        <f>Table1_2[[#This Row],[Qty]]*Table1_2[[#This Row],[Price]]</f>
        <v>6000</v>
      </c>
    </row>
    <row r="5" spans="1:12" x14ac:dyDescent="0.3">
      <c r="A5">
        <v>1004</v>
      </c>
      <c r="B5" s="3">
        <v>45748</v>
      </c>
      <c r="C5" t="s">
        <v>7</v>
      </c>
      <c r="D5" t="s">
        <v>16</v>
      </c>
      <c r="E5" t="s">
        <v>17</v>
      </c>
      <c r="F5">
        <v>2</v>
      </c>
      <c r="G5">
        <v>3000</v>
      </c>
      <c r="H5">
        <f>VLOOKUP(Table1_2[[#This Row],[Prod ID]],Products!A:D,4,FALSE)</f>
        <v>1500</v>
      </c>
      <c r="I5" t="str">
        <f>INDEX(Customers!B:B, MATCH(C5, Customers!A:A, 0))</f>
        <v>Rahul Sharma</v>
      </c>
      <c r="J5" t="str">
        <f>INDEX(Products!C:C, MATCH(Table1_2[[#This Row],[Prod ID]],Products!A:A,0))</f>
        <v>Furniture</v>
      </c>
      <c r="K5">
        <f>INDEX(Region_Targets!B:B,MATCH(Table1_2[[#This Row],[Region]],Region_Targets!A:A,0))</f>
        <v>5000</v>
      </c>
      <c r="L5">
        <f>Table1_2[[#This Row],[Qty]]*Table1_2[[#This Row],[Price]]</f>
        <v>3000</v>
      </c>
    </row>
    <row r="6" spans="1:12" x14ac:dyDescent="0.3">
      <c r="A6">
        <v>1006</v>
      </c>
      <c r="B6" s="3">
        <v>45809</v>
      </c>
      <c r="C6" t="s">
        <v>10</v>
      </c>
      <c r="D6" t="s">
        <v>8</v>
      </c>
      <c r="E6" t="s">
        <v>12</v>
      </c>
      <c r="F6">
        <v>2</v>
      </c>
      <c r="G6">
        <v>4000</v>
      </c>
      <c r="H6">
        <f>VLOOKUP(Table1_2[[#This Row],[Prod ID]],Products!A:D,4,FALSE)</f>
        <v>2000</v>
      </c>
      <c r="I6" t="str">
        <f>INDEX(Customers!B:B, MATCH(C6, Customers!A:A, 0))</f>
        <v>Neha Singh</v>
      </c>
      <c r="J6" t="str">
        <f>INDEX(Products!C:C, MATCH(Table1_2[[#This Row],[Prod ID]],Products!A:A,0))</f>
        <v>Electronics</v>
      </c>
      <c r="K6">
        <f>INDEX(Region_Targets!B:B,MATCH(Table1_2[[#This Row],[Region]],Region_Targets!A:A,0))</f>
        <v>7000</v>
      </c>
      <c r="L6">
        <f>Table1_2[[#This Row],[Qty]]*Table1_2[[#This Row],[Price]]</f>
        <v>4000</v>
      </c>
    </row>
    <row r="7" spans="1:12" x14ac:dyDescent="0.3">
      <c r="B7" s="3"/>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6FD9C-D9F2-40EF-A8AC-E97E9653E607}">
  <dimension ref="A3:N8"/>
  <sheetViews>
    <sheetView workbookViewId="0">
      <selection activeCell="M10" sqref="M10"/>
    </sheetView>
  </sheetViews>
  <sheetFormatPr defaultRowHeight="14.4" x14ac:dyDescent="0.3"/>
  <cols>
    <col min="1" max="1" width="12.5546875" bestFit="1" customWidth="1"/>
    <col min="2" max="2" width="16.109375" bestFit="1" customWidth="1"/>
    <col min="5" max="5" width="12.5546875" bestFit="1" customWidth="1"/>
    <col min="6" max="6" width="16.109375" bestFit="1" customWidth="1"/>
    <col min="9" max="9" width="12.5546875" bestFit="1" customWidth="1"/>
    <col min="10" max="10" width="12.77734375" bestFit="1" customWidth="1"/>
    <col min="11" max="11" width="16.109375" bestFit="1" customWidth="1"/>
    <col min="13" max="13" width="12.5546875" bestFit="1" customWidth="1"/>
    <col min="14" max="14" width="16.109375" bestFit="1" customWidth="1"/>
  </cols>
  <sheetData>
    <row r="3" spans="1:14" x14ac:dyDescent="0.3">
      <c r="A3" s="5" t="s">
        <v>44</v>
      </c>
      <c r="B3" t="s">
        <v>46</v>
      </c>
      <c r="E3" s="5" t="s">
        <v>44</v>
      </c>
      <c r="F3" t="s">
        <v>46</v>
      </c>
      <c r="I3" s="5" t="s">
        <v>44</v>
      </c>
      <c r="J3" t="s">
        <v>47</v>
      </c>
      <c r="K3" t="s">
        <v>46</v>
      </c>
      <c r="M3" s="5" t="s">
        <v>44</v>
      </c>
      <c r="N3" t="s">
        <v>46</v>
      </c>
    </row>
    <row r="4" spans="1:14" x14ac:dyDescent="0.3">
      <c r="A4" s="6" t="s">
        <v>15</v>
      </c>
      <c r="B4">
        <v>6000</v>
      </c>
      <c r="E4" s="6" t="s">
        <v>35</v>
      </c>
      <c r="F4">
        <v>14000</v>
      </c>
      <c r="I4" s="6" t="s">
        <v>15</v>
      </c>
      <c r="J4">
        <v>6000</v>
      </c>
      <c r="K4">
        <v>6000</v>
      </c>
      <c r="M4" s="6" t="s">
        <v>23</v>
      </c>
      <c r="N4">
        <v>7000</v>
      </c>
    </row>
    <row r="5" spans="1:14" x14ac:dyDescent="0.3">
      <c r="A5" s="6" t="s">
        <v>9</v>
      </c>
      <c r="B5">
        <v>4000</v>
      </c>
      <c r="E5" s="6" t="s">
        <v>40</v>
      </c>
      <c r="F5">
        <v>3000</v>
      </c>
      <c r="I5" s="6" t="s">
        <v>9</v>
      </c>
      <c r="J5">
        <v>8000</v>
      </c>
      <c r="K5">
        <v>4000</v>
      </c>
      <c r="M5" s="6" t="s">
        <v>25</v>
      </c>
      <c r="N5">
        <v>5500</v>
      </c>
    </row>
    <row r="6" spans="1:14" x14ac:dyDescent="0.3">
      <c r="A6" s="6" t="s">
        <v>12</v>
      </c>
      <c r="B6">
        <v>5500</v>
      </c>
      <c r="E6" s="6" t="s">
        <v>38</v>
      </c>
      <c r="F6">
        <v>1500</v>
      </c>
      <c r="I6" s="6" t="s">
        <v>12</v>
      </c>
      <c r="J6">
        <v>14000</v>
      </c>
      <c r="K6">
        <v>5500</v>
      </c>
      <c r="M6" s="6" t="s">
        <v>27</v>
      </c>
      <c r="N6">
        <v>6000</v>
      </c>
    </row>
    <row r="7" spans="1:14" x14ac:dyDescent="0.3">
      <c r="A7" s="6" t="s">
        <v>17</v>
      </c>
      <c r="B7">
        <v>3000</v>
      </c>
      <c r="E7" s="6" t="s">
        <v>45</v>
      </c>
      <c r="F7">
        <v>18500</v>
      </c>
      <c r="I7" s="6" t="s">
        <v>17</v>
      </c>
      <c r="J7">
        <v>5000</v>
      </c>
      <c r="K7">
        <v>3000</v>
      </c>
      <c r="M7" s="6" t="s">
        <v>45</v>
      </c>
      <c r="N7">
        <v>18500</v>
      </c>
    </row>
    <row r="8" spans="1:14" x14ac:dyDescent="0.3">
      <c r="A8" s="6" t="s">
        <v>45</v>
      </c>
      <c r="B8">
        <v>18500</v>
      </c>
      <c r="I8" s="6" t="s">
        <v>45</v>
      </c>
      <c r="J8">
        <v>33000</v>
      </c>
      <c r="K8">
        <v>18500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B2F88-A9E7-42F5-8D75-C09DD06E02AB}">
  <sheetPr>
    <tabColor theme="9" tint="0.79998168889431442"/>
  </sheetPr>
  <dimension ref="A1:D4"/>
  <sheetViews>
    <sheetView showGridLines="0" tabSelected="1" zoomScale="92" zoomScaleNormal="100" zoomScaleSheetLayoutView="85" workbookViewId="0">
      <selection activeCell="AR30" sqref="AR30"/>
    </sheetView>
  </sheetViews>
  <sheetFormatPr defaultRowHeight="14.4" x14ac:dyDescent="0.3"/>
  <cols>
    <col min="1" max="1" width="19.109375" bestFit="1" customWidth="1"/>
    <col min="2" max="2" width="20.21875" bestFit="1" customWidth="1"/>
    <col min="3" max="3" width="25.6640625" bestFit="1" customWidth="1"/>
    <col min="4" max="4" width="19.109375" bestFit="1" customWidth="1"/>
  </cols>
  <sheetData>
    <row r="1" spans="1:4" ht="33.6" x14ac:dyDescent="0.65">
      <c r="A1" s="15" t="s">
        <v>52</v>
      </c>
      <c r="B1" s="15"/>
      <c r="C1" s="15"/>
    </row>
    <row r="2" spans="1:4" ht="34.200000000000003" thickBot="1" x14ac:dyDescent="0.7">
      <c r="A2" s="14"/>
      <c r="B2" s="14"/>
      <c r="C2" s="14"/>
    </row>
    <row r="3" spans="1:4" ht="25.8" x14ac:dyDescent="0.3">
      <c r="A3" s="7" t="s">
        <v>48</v>
      </c>
      <c r="B3" s="8" t="s">
        <v>49</v>
      </c>
      <c r="C3" s="8" t="s">
        <v>50</v>
      </c>
      <c r="D3" s="9" t="s">
        <v>51</v>
      </c>
    </row>
    <row r="4" spans="1:4" ht="26.4" thickBot="1" x14ac:dyDescent="0.35">
      <c r="A4" s="11">
        <f>GETPIVOTDATA("Final Sales",Pivot_Data!$A$3)</f>
        <v>18500</v>
      </c>
      <c r="B4" s="12">
        <f>GETPIVOTDATA("Sum of Target",Pivot_Data!$I$3)</f>
        <v>33000</v>
      </c>
      <c r="C4" s="10">
        <f>A4/B4</f>
        <v>0.56060606060606055</v>
      </c>
      <c r="D4" s="13">
        <f>B4-A4</f>
        <v>14500</v>
      </c>
    </row>
  </sheetData>
  <mergeCells count="1">
    <mergeCell ref="A1:C1"/>
  </mergeCells>
  <conditionalFormatting sqref="C4">
    <cfRule type="colorScale" priority="1">
      <colorScale>
        <cfvo type="min"/>
        <cfvo type="percentile" val="50"/>
        <cfvo type="max"/>
        <color rgb="FF63BE7B"/>
        <color rgb="FFFCFCFF"/>
        <color rgb="FFF8696B"/>
      </colorScale>
    </cfRule>
    <cfRule type="colorScale" priority="3">
      <colorScale>
        <cfvo type="min"/>
        <cfvo type="max"/>
        <color rgb="FFF8696B"/>
        <color rgb="FFFCFCFF"/>
      </colorScale>
    </cfRule>
  </conditionalFormatting>
  <conditionalFormatting sqref="G5">
    <cfRule type="colorScale" priority="5">
      <colorScale>
        <cfvo type="min"/>
        <cfvo type="percentile" val="50"/>
        <cfvo type="max"/>
        <color rgb="FFF8696B"/>
        <color rgb="FFFFEB84"/>
        <color rgb="FF63BE7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16F4EB-377B-4E0F-84E9-3A4622C91C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Raw_Sales_Data</vt:lpstr>
      <vt:lpstr>Customers</vt:lpstr>
      <vt:lpstr>Products</vt:lpstr>
      <vt:lpstr>Region_Targets</vt:lpstr>
      <vt:lpstr>Cleaned_Sales_Data</vt:lpstr>
      <vt:lpstr>Pivot_Data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Jitesh shetty</dc:creator>
  <cp:lastModifiedBy>Jitesh shetty</cp:lastModifiedBy>
  <dcterms:created xsi:type="dcterms:W3CDTF">2026-01-10T07:02:17Z</dcterms:created>
  <dcterms:modified xsi:type="dcterms:W3CDTF">2026-01-11T14:30:43Z</dcterms:modified>
</cp:coreProperties>
</file>